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Calculator" sheetId="2" state="visible" r:id="rId2"/>
    <sheet xmlns:r="http://schemas.openxmlformats.org/officeDocument/2006/relationships" name="Examples" sheetId="3" state="visible" r:id="rId3"/>
    <sheet xmlns:r="http://schemas.openxmlformats.org/officeDocument/2006/relationships" name="Payout Tracker" sheetId="4" state="visible" r:id="rId4"/>
    <sheet xmlns:r="http://schemas.openxmlformats.org/officeDocument/2006/relationships" name="Rates &amp; Ru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-#,##0"/>
  </numFmts>
  <fonts count="18">
    <font>
      <name val="Calibri"/>
      <family val="2"/>
      <color theme="1"/>
      <sz val="11"/>
      <scheme val="minor"/>
    </font>
    <font>
      <name val="Calibri"/>
      <b val="1"/>
      <color rgb="004C1D95"/>
      <sz val="20"/>
    </font>
    <font>
      <name val="Calibri"/>
      <i val="1"/>
      <color rgb="004B5563"/>
      <sz val="11"/>
    </font>
    <font>
      <name val="Calibri"/>
      <b val="1"/>
      <color rgb="00FFFFFF"/>
      <sz val="13"/>
    </font>
    <font>
      <name val="Calibri"/>
      <b val="1"/>
      <color rgb="00120B2E"/>
      <sz val="11"/>
    </font>
    <font>
      <name val="Calibri"/>
      <color rgb="001F2937"/>
      <sz val="11"/>
    </font>
    <font>
      <name val="Calibri"/>
      <color rgb="004B5563"/>
      <sz val="9.5"/>
    </font>
    <font>
      <name val="Calibri"/>
      <b val="1"/>
      <color rgb="00FFFFFF"/>
      <sz val="11"/>
    </font>
    <font>
      <name val="Calibri"/>
      <b val="1"/>
      <color rgb="00B45309"/>
      <sz val="9.5"/>
    </font>
    <font>
      <name val="Calibri"/>
      <b val="1"/>
      <color rgb="004C1D95"/>
      <sz val="14"/>
    </font>
    <font>
      <name val="Calibri"/>
      <b val="1"/>
      <color rgb="00047857"/>
      <sz val="10.5"/>
    </font>
    <font>
      <name val="Calibri"/>
      <b val="1"/>
      <color rgb="00EC4899"/>
      <sz val="12"/>
    </font>
    <font>
      <name val="Calibri"/>
      <b val="1"/>
      <color rgb="006D28D9"/>
      <sz val="10.5"/>
    </font>
    <font>
      <name val="Calibri"/>
      <b val="1"/>
      <color rgb="00B45309"/>
      <sz val="10.5"/>
    </font>
    <font>
      <name val="Calibri"/>
      <b val="1"/>
      <color rgb="00EC4899"/>
      <sz val="11"/>
    </font>
    <font>
      <name val="Calibri"/>
      <b val="1"/>
      <color rgb="00B91C1C"/>
      <sz val="11"/>
    </font>
    <font>
      <name val="Calibri"/>
      <b val="1"/>
      <color rgb="004C1D95"/>
      <sz val="12"/>
    </font>
    <font>
      <name val="Calibri"/>
      <b val="1"/>
      <color rgb="00FFFFFF"/>
      <sz val="10.5"/>
    </font>
  </fonts>
  <fills count="8">
    <fill>
      <patternFill/>
    </fill>
    <fill>
      <patternFill patternType="gray125"/>
    </fill>
    <fill>
      <patternFill patternType="solid">
        <fgColor rgb="004C1D95"/>
      </patternFill>
    </fill>
    <fill>
      <patternFill patternType="solid">
        <fgColor rgb="00F5F3FF"/>
      </patternFill>
    </fill>
    <fill>
      <patternFill patternType="solid">
        <fgColor rgb="00FFF7ED"/>
      </patternFill>
    </fill>
    <fill>
      <patternFill patternType="solid">
        <fgColor rgb="006D28D9"/>
      </patternFill>
    </fill>
    <fill>
      <patternFill patternType="solid">
        <fgColor rgb="00ECFDF5"/>
      </patternFill>
    </fill>
    <fill>
      <patternFill patternType="solid">
        <fgColor rgb="00FDF2F8"/>
      </patternFill>
    </fill>
  </fills>
  <borders count="6">
    <border>
      <left/>
      <right/>
      <top/>
      <bottom/>
      <diagonal/>
    </border>
    <border>
      <left style="thin">
        <color rgb="00E5E1F5"/>
      </left>
      <right style="thin">
        <color rgb="00E5E1F5"/>
      </right>
      <top style="thin">
        <color rgb="00E5E1F5"/>
      </top>
      <bottom style="thin">
        <color rgb="00E5E1F5"/>
      </bottom>
    </border>
    <border>
      <left/>
      <right/>
      <top style="thin">
        <color rgb="00E5E1F5"/>
      </top>
      <bottom/>
      <diagonal/>
    </border>
    <border>
      <left/>
      <right style="thin">
        <color rgb="00E5E1F5"/>
      </right>
      <top style="thin">
        <color rgb="00E5E1F5"/>
      </top>
      <bottom/>
      <diagonal/>
    </border>
    <border>
      <left/>
      <right/>
      <top style="thin">
        <color rgb="00E5E1F5"/>
      </top>
      <bottom style="thin">
        <color rgb="00E5E1F5"/>
      </bottom>
      <diagonal/>
    </border>
    <border>
      <left/>
      <right style="thin">
        <color rgb="00E5E1F5"/>
      </right>
      <top style="thin">
        <color rgb="00E5E1F5"/>
      </top>
      <bottom style="thin">
        <color rgb="00E5E1F5"/>
      </bottom>
      <diagonal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4" fillId="3" borderId="0" applyAlignment="1" pivotButton="0" quotePrefix="0" xfId="0">
      <alignment vertical="center" wrapText="1"/>
    </xf>
    <xf numFmtId="0" fontId="5" fillId="3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4" fillId="3" borderId="0" pivotButton="0" quotePrefix="0" xfId="0"/>
    <xf numFmtId="0" fontId="6" fillId="3" borderId="0" pivotButton="0" quotePrefix="0" xfId="0"/>
    <xf numFmtId="0" fontId="4" fillId="0" borderId="1" pivotButton="0" quotePrefix="0" xfId="0"/>
    <xf numFmtId="0" fontId="5" fillId="0" borderId="1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4" fillId="0" borderId="0" pivotButton="0" quotePrefix="0" xfId="0"/>
    <xf numFmtId="0" fontId="0" fillId="4" borderId="1" pivotButton="0" quotePrefix="0" xfId="0"/>
    <xf numFmtId="9" fontId="0" fillId="4" borderId="1" pivotButton="0" quotePrefix="0" xfId="0"/>
    <xf numFmtId="3" fontId="0" fillId="4" borderId="1" pivotButton="0" quotePrefix="0" xfId="0"/>
    <xf numFmtId="0" fontId="7" fillId="5" borderId="0" applyAlignment="1" pivotButton="0" quotePrefix="0" xfId="0">
      <alignment vertical="center" indent="1"/>
    </xf>
    <xf numFmtId="0" fontId="7" fillId="5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3" fontId="4" fillId="3" borderId="1" pivotButton="0" quotePrefix="0" xfId="0"/>
    <xf numFmtId="3" fontId="5" fillId="0" borderId="0" pivotButton="0" quotePrefix="0" xfId="0"/>
    <xf numFmtId="164" fontId="5" fillId="0" borderId="0" pivotButton="0" quotePrefix="0" xfId="0"/>
    <xf numFmtId="0" fontId="9" fillId="3" borderId="1" pivotButton="0" quotePrefix="0" xfId="0"/>
    <xf numFmtId="164" fontId="9" fillId="3" borderId="1" pivotButton="0" quotePrefix="0" xfId="0"/>
    <xf numFmtId="0" fontId="10" fillId="6" borderId="0" applyAlignment="1" pivotButton="0" quotePrefix="0" xfId="0">
      <alignment vertical="top" wrapText="1"/>
    </xf>
    <xf numFmtId="0" fontId="5" fillId="0" borderId="1" pivotButton="0" quotePrefix="0" xfId="0"/>
    <xf numFmtId="3" fontId="5" fillId="0" borderId="1" pivotButton="0" quotePrefix="0" xfId="0"/>
    <xf numFmtId="9" fontId="0" fillId="0" borderId="1" applyAlignment="1" pivotButton="0" quotePrefix="0" xfId="0">
      <alignment horizontal="center" vertical="center"/>
    </xf>
    <xf numFmtId="0" fontId="11" fillId="7" borderId="1" pivotButton="0" quotePrefix="0" xfId="0"/>
    <xf numFmtId="3" fontId="11" fillId="7" borderId="1" pivotButton="0" quotePrefix="0" xfId="0"/>
    <xf numFmtId="0" fontId="1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  <xf numFmtId="0" fontId="5" fillId="0" borderId="1" applyAlignment="1" pivotButton="0" quotePrefix="0" xfId="0">
      <alignment vertical="center" wrapText="1"/>
    </xf>
    <xf numFmtId="3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3" fontId="14" fillId="7" borderId="1" applyAlignment="1" pivotButton="0" quotePrefix="0" xfId="0">
      <alignment horizontal="right" vertical="center"/>
    </xf>
    <xf numFmtId="0" fontId="6" fillId="0" borderId="1" applyAlignment="1" pivotButton="0" quotePrefix="0" xfId="0">
      <alignment vertical="center" wrapText="1"/>
    </xf>
    <xf numFmtId="164" fontId="4" fillId="3" borderId="0" applyAlignment="1" pivotButton="0" quotePrefix="0" xfId="0">
      <alignment horizontal="right" vertical="center"/>
    </xf>
    <xf numFmtId="0" fontId="6" fillId="0" borderId="0" applyAlignment="1" pivotButton="0" quotePrefix="0" xfId="0">
      <alignment vertical="center" wrapText="1"/>
    </xf>
    <xf numFmtId="3" fontId="0" fillId="0" borderId="1" pivotButton="0" quotePrefix="0" xfId="0"/>
    <xf numFmtId="164" fontId="0" fillId="0" borderId="1" pivotButton="0" quotePrefix="0" xfId="0"/>
    <xf numFmtId="3" fontId="14" fillId="0" borderId="1" pivotButton="0" quotePrefix="0" xfId="0"/>
    <xf numFmtId="3" fontId="15" fillId="3" borderId="0" pivotButton="0" quotePrefix="0" xfId="0"/>
    <xf numFmtId="164" fontId="4" fillId="3" borderId="0" pivotButton="0" quotePrefix="0" xfId="0"/>
    <xf numFmtId="0" fontId="4" fillId="3" borderId="0" applyAlignment="1" pivotButton="0" quotePrefix="0" xfId="0">
      <alignment vertical="center" indent="1"/>
    </xf>
    <xf numFmtId="3" fontId="11" fillId="3" borderId="0" applyAlignment="1" pivotButton="0" quotePrefix="0" xfId="0">
      <alignment horizontal="right" vertical="center"/>
    </xf>
    <xf numFmtId="3" fontId="16" fillId="3" borderId="0" applyAlignment="1" pivotButton="0" quotePrefix="0" xfId="0">
      <alignment horizontal="right" vertical="center"/>
    </xf>
    <xf numFmtId="0" fontId="17" fillId="5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4" borderId="1" pivotButton="0" quotePrefix="0" xfId="0"/>
    <xf numFmtId="0" fontId="5" fillId="0" borderId="1" applyAlignment="1" pivotButton="0" quotePrefix="0" xfId="0">
      <alignment vertical="center" inden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62" customWidth="1" min="3" max="3"/>
    <col width="26" customWidth="1" min="4" max="4"/>
    <col width="18" customWidth="1" min="5" max="5"/>
    <col width="14" customWidth="1" min="6" max="6"/>
  </cols>
  <sheetData>
    <row r="1" ht="28" customHeight="1">
      <c r="A1" s="1" t="inlineStr">
        <is>
          <t>Devzard — Commission Calculator</t>
        </is>
      </c>
    </row>
    <row r="2" ht="18" customHeight="1">
      <c r="A2" s="2" t="inlineStr">
        <is>
          <t>Sales Partnership Program · 70% Devzard / 30% Sales Partner of net project profit</t>
        </is>
      </c>
    </row>
    <row r="4" ht="24" customHeight="1">
      <c r="A4" s="3" t="inlineStr">
        <is>
          <t>START HERE — 2 MINUTES</t>
        </is>
      </c>
      <c r="B4" s="4" t="n"/>
      <c r="C4" s="4" t="n"/>
      <c r="D4" s="4" t="n"/>
      <c r="E4" s="4" t="n"/>
    </row>
    <row r="6" ht="30" customHeight="1">
      <c r="B6" s="5" t="inlineStr">
        <is>
          <t>1. Open the Calculator tab</t>
        </is>
      </c>
      <c r="C6" s="6" t="inlineStr">
        <is>
          <t>Enter the client revenue for your project in the orange input cell.</t>
        </is>
      </c>
    </row>
    <row r="7" ht="30" customHeight="1">
      <c r="B7" s="5" t="inlineStr">
        <is>
          <t>2. Enter the expenses</t>
        </is>
      </c>
      <c r="C7" s="6" t="inlineStr">
        <is>
          <t>Only direct, project-specific, documented costs. Anything above PKR 25,000 needs the partner's written approval first.</t>
        </is>
      </c>
    </row>
    <row r="8" ht="30" customHeight="1">
      <c r="B8" s="5" t="inlineStr">
        <is>
          <t>3. Read your share</t>
        </is>
      </c>
      <c r="C8" s="6" t="inlineStr">
        <is>
          <t>Your 30% is calculated live. No formulas to edit, no guessing.</t>
        </is>
      </c>
    </row>
    <row r="9" ht="30" customHeight="1">
      <c r="B9" s="5" t="inlineStr">
        <is>
          <t>4. Change the split if you want</t>
        </is>
      </c>
      <c r="C9" s="6" t="inlineStr">
        <is>
          <t>Cell B5 of the Calculator holds the partner share %. It is set to 30%. Change it to model any other split.</t>
        </is>
      </c>
    </row>
    <row r="10" ht="30" customHeight="1">
      <c r="B10" s="5" t="inlineStr">
        <is>
          <t>5. Log the deal</t>
        </is>
      </c>
      <c r="C10" s="6" t="inlineStr">
        <is>
          <t>Once a project closes, add it to the Payout Tracker tab and let it total your earnings.</t>
        </is>
      </c>
    </row>
    <row r="11" ht="30" customHeight="1">
      <c r="B11" s="5" t="inlineStr">
        <is>
          <t>6. Check a rule</t>
        </is>
      </c>
      <c r="C11" s="6" t="inlineStr">
        <is>
          <t>Rates &amp; Rules has the deductible / non-deductible list and the four expense rules on one page.</t>
        </is>
      </c>
    </row>
    <row r="13" ht="24" customHeight="1">
      <c r="A13" s="3" t="inlineStr">
        <is>
          <t>THE FORMULA</t>
        </is>
      </c>
      <c r="B13" s="4" t="n"/>
      <c r="C13" s="4" t="n"/>
      <c r="D13" s="4" t="n"/>
      <c r="E13" s="4" t="n"/>
    </row>
    <row r="15">
      <c r="B15" s="7" t="inlineStr">
        <is>
          <t>Gross client revenue</t>
        </is>
      </c>
      <c r="C15" s="8" t="inlineStr">
        <is>
          <t>Contract value, excluding sales tax</t>
        </is>
      </c>
    </row>
    <row r="16">
      <c r="B16" s="7" t="inlineStr">
        <is>
          <t>− Direct project expenses</t>
        </is>
      </c>
      <c r="C16" s="8" t="inlineStr">
        <is>
          <t>Agreed, documented, project-specific</t>
        </is>
      </c>
    </row>
    <row r="17">
      <c r="B17" s="9" t="inlineStr">
        <is>
          <t>= Net profit</t>
        </is>
      </c>
      <c r="C17" s="10" t="inlineStr"/>
    </row>
    <row r="18">
      <c r="B18" s="9" t="inlineStr">
        <is>
          <t>× 30% = Sales partner share</t>
        </is>
      </c>
      <c r="C18" s="10" t="inlineStr">
        <is>
          <t>Your commission</t>
        </is>
      </c>
    </row>
    <row r="19">
      <c r="B19" s="7" t="inlineStr">
        <is>
          <t>× 70% = Devzard share</t>
        </is>
      </c>
      <c r="C19" s="8" t="inlineStr"/>
    </row>
    <row r="21" ht="24" customHeight="1">
      <c r="A21" s="3" t="inlineStr">
        <is>
          <t>PAYMENT TERMS AT A GLANCE</t>
        </is>
      </c>
      <c r="B21" s="4" t="n"/>
      <c r="C21" s="4" t="n"/>
      <c r="D21" s="4" t="n"/>
      <c r="E21" s="4" t="n"/>
    </row>
    <row r="23">
      <c r="B23" s="11" t="inlineStr">
        <is>
          <t>Paid when</t>
        </is>
      </c>
      <c r="C23" s="12" t="inlineStr">
        <is>
          <t>Client payment received and cleared, AND the related milestone delivered</t>
        </is>
      </c>
    </row>
    <row r="24">
      <c r="B24" s="11" t="inlineStr">
        <is>
          <t>Payout window</t>
        </is>
      </c>
      <c r="C24" s="12" t="inlineStr">
        <is>
          <t>Within 7 business days of both conditions being met</t>
        </is>
      </c>
    </row>
    <row r="25">
      <c r="B25" s="11" t="inlineStr">
        <is>
          <t>Statement</t>
        </is>
      </c>
      <c r="C25" s="12" t="inlineStr">
        <is>
          <t>Every payment is accompanied by a written statement</t>
        </is>
      </c>
    </row>
    <row r="26">
      <c r="B26" s="11" t="inlineStr">
        <is>
          <t>Query window</t>
        </is>
      </c>
      <c r="C26" s="12" t="inlineStr">
        <is>
          <t>15 days from receiving a statement</t>
        </is>
      </c>
    </row>
    <row r="27">
      <c r="B27" s="11" t="inlineStr">
        <is>
          <t>Minimum payout</t>
        </is>
      </c>
      <c r="C27" s="12" t="inlineStr">
        <is>
          <t>PKR 5,000 — smaller balances carry forward</t>
        </is>
      </c>
    </row>
    <row r="28">
      <c r="B28" s="11" t="inlineStr">
        <is>
          <t>Multi-milestone</t>
        </is>
      </c>
      <c r="C28" s="12" t="inlineStr">
        <is>
          <t>Commission is paid milestone by milestone</t>
        </is>
      </c>
    </row>
    <row r="29">
      <c r="B29" s="11" t="inlineStr">
        <is>
          <t>Recurring work</t>
        </is>
      </c>
      <c r="C29" s="12" t="inlineStr">
        <is>
          <t>30% of net profit on retainers, renewals and upsells while the partnership is active</t>
        </is>
      </c>
    </row>
    <row r="30">
      <c r="B30" s="11" t="inlineStr">
        <is>
          <t>If a project loses money</t>
        </is>
      </c>
      <c r="C30" s="12" t="inlineStr">
        <is>
          <t>No commission, and nothing is ever charged to the partner</t>
        </is>
      </c>
    </row>
    <row r="32" ht="30" customHeight="1">
      <c r="B32" s="13" t="inlineStr">
        <is>
          <t>Illustrative only. Actual profits vary with the project's price, scope and expenses. Earnings depend on the successful deals brought in — nothing here is a guarantee of income.</t>
        </is>
      </c>
    </row>
  </sheetData>
  <mergeCells count="6">
    <mergeCell ref="A21:E21"/>
    <mergeCell ref="A2:F2"/>
    <mergeCell ref="A4:E4"/>
    <mergeCell ref="A1:F1"/>
    <mergeCell ref="A13:E13"/>
    <mergeCell ref="B32:E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" customWidth="1" min="1" max="1"/>
    <col width="46" customWidth="1" min="2" max="2"/>
    <col width="18" customWidth="1" min="3" max="3"/>
    <col width="52" customWidth="1" min="4" max="4"/>
    <col width="16" customWidth="1" min="5" max="5"/>
  </cols>
  <sheetData>
    <row r="1" ht="28" customHeight="1">
      <c r="A1" s="1" t="inlineStr">
        <is>
          <t>Project Commission Calculator</t>
        </is>
      </c>
    </row>
    <row r="2" ht="18" customHeight="1">
      <c r="A2" s="2" t="inlineStr">
        <is>
          <t>Enter the orange cells only — everything else calculates itself.</t>
        </is>
      </c>
    </row>
    <row r="4">
      <c r="B4" s="14" t="inlineStr">
        <is>
          <t>Project / client name</t>
        </is>
      </c>
      <c r="C4" s="15" t="n"/>
      <c r="D4" s="8" t="inlineStr">
        <is>
          <t>Type the client or project here (optional)</t>
        </is>
      </c>
    </row>
    <row r="5">
      <c r="B5" s="14" t="inlineStr">
        <is>
          <t>Sales partner share %</t>
        </is>
      </c>
      <c r="C5" s="16" t="n">
        <v>0.3</v>
      </c>
      <c r="D5" s="8" t="inlineStr">
        <is>
          <t>Agreed split is 30%. Change only to model a different split.</t>
        </is>
      </c>
    </row>
    <row r="7" ht="24" customHeight="1">
      <c r="A7" s="3" t="inlineStr">
        <is>
          <t>1  CLIENT REVENUE</t>
        </is>
      </c>
      <c r="B7" s="4" t="n"/>
      <c r="C7" s="4" t="n"/>
      <c r="D7" s="4" t="n"/>
    </row>
    <row r="8">
      <c r="B8" s="14" t="inlineStr">
        <is>
          <t>Client revenue (excluding sales tax)</t>
        </is>
      </c>
      <c r="C8" s="17" t="n">
        <v>20000</v>
      </c>
      <c r="D8" s="8" t="inlineStr">
        <is>
          <t>Contract value agreed with the client</t>
        </is>
      </c>
    </row>
    <row r="10" ht="24" customHeight="1">
      <c r="A10" s="3" t="inlineStr">
        <is>
          <t>2  DIRECT PROJECT EXPENSES  (only project-specific, documented costs)</t>
        </is>
      </c>
      <c r="B10" s="4" t="n"/>
      <c r="C10" s="4" t="n"/>
      <c r="D10" s="4" t="n"/>
    </row>
    <row r="11">
      <c r="B11" s="18" t="inlineStr">
        <is>
          <t>Expense line</t>
        </is>
      </c>
      <c r="C11" s="19" t="inlineStr">
        <is>
          <t>Amount (PKR)</t>
        </is>
      </c>
      <c r="D11" s="18" t="inlineStr">
        <is>
          <t>Approval flag</t>
        </is>
      </c>
    </row>
    <row r="12" ht="20" customHeight="1">
      <c r="B12" s="20" t="inlineStr">
        <is>
          <t>Domain name and hosting (project period)</t>
        </is>
      </c>
      <c r="C12" s="17" t="n">
        <v>4000</v>
      </c>
      <c r="D12" s="21">
        <f>IF(C12="","",IF(C12&gt;25000,"NEEDS PARTNER WRITTEN APPROVAL BEFORE IT IS COMMITTED",""))</f>
        <v/>
      </c>
    </row>
    <row r="13" ht="20" customHeight="1">
      <c r="B13" s="20" t="inlineStr">
        <is>
          <t>Premium theme / plugin licences</t>
        </is>
      </c>
      <c r="C13" s="17" t="n">
        <v>1000</v>
      </c>
      <c r="D13" s="21">
        <f>IF(C13="","",IF(C13&gt;25000,"NEEDS PARTNER WRITTEN APPROVAL BEFORE IT IS COMMITTED",""))</f>
        <v/>
      </c>
    </row>
    <row r="14" ht="20" customHeight="1">
      <c r="B14" s="20" t="inlineStr">
        <is>
          <t>Stock images, video or fonts</t>
        </is>
      </c>
      <c r="C14" s="17" t="n">
        <v>0</v>
      </c>
      <c r="D14" s="21">
        <f>IF(C14="","",IF(C14&gt;25000,"NEEDS PARTNER WRITTEN APPROVAL BEFORE IT IS COMMITTED",""))</f>
        <v/>
      </c>
    </row>
    <row r="15" ht="20" customHeight="1">
      <c r="B15" s="20" t="inlineStr">
        <is>
          <t>Paid APIs, integrations, SMS, gateway setup</t>
        </is>
      </c>
      <c r="C15" s="17" t="n">
        <v>0</v>
      </c>
      <c r="D15" s="21">
        <f>IF(C15="","",IF(C15&gt;25000,"NEEDS PARTNER WRITTEN APPROVAL BEFORE IT IS COMMITTED",""))</f>
        <v/>
      </c>
    </row>
    <row r="16" ht="20" customHeight="1">
      <c r="B16" s="20" t="inlineStr">
        <is>
          <t>Outsourced / subcontracted delivery</t>
        </is>
      </c>
      <c r="C16" s="17" t="n">
        <v>0</v>
      </c>
      <c r="D16" s="21">
        <f>IF(C16="","",IF(C16&gt;25000,"NEEDS PARTNER WRITTEN APPROVAL BEFORE IT IS COMMITTED",""))</f>
        <v/>
      </c>
    </row>
    <row r="17" ht="20" customHeight="1">
      <c r="B17" s="20" t="inlineStr">
        <is>
          <t>Payment gateway and bank transfer fees</t>
        </is>
      </c>
      <c r="C17" s="17" t="n">
        <v>0</v>
      </c>
      <c r="D17" s="21">
        <f>IF(C17="","",IF(C17&gt;25000,"NEEDS PARTNER WRITTEN APPROVAL BEFORE IT IS COMMITTED",""))</f>
        <v/>
      </c>
    </row>
    <row r="18" ht="20" customHeight="1">
      <c r="B18" s="20" t="inlineStr">
        <is>
          <t>Client-specific ad spend</t>
        </is>
      </c>
      <c r="C18" s="17" t="n">
        <v>0</v>
      </c>
      <c r="D18" s="21">
        <f>IF(C18="","",IF(C18&gt;25000,"NEEDS PARTNER WRITTEN APPROVAL BEFORE IT IS COMMITTED",""))</f>
        <v/>
      </c>
    </row>
    <row r="19" ht="20" customHeight="1">
      <c r="B19" s="20" t="inlineStr">
        <is>
          <t>Printing, courier or physical costs</t>
        </is>
      </c>
      <c r="C19" s="17" t="n">
        <v>0</v>
      </c>
      <c r="D19" s="21">
        <f>IF(C19="","",IF(C19&gt;25000,"NEEDS PARTNER WRITTEN APPROVAL BEFORE IT IS COMMITTED",""))</f>
        <v/>
      </c>
    </row>
    <row r="20" ht="20" customHeight="1">
      <c r="B20" s="20" t="inlineStr">
        <is>
          <t>Taxes or levies arising solely from this project</t>
        </is>
      </c>
      <c r="C20" s="17" t="n">
        <v>0</v>
      </c>
      <c r="D20" s="21">
        <f>IF(C20="","",IF(C20&gt;25000,"NEEDS PARTNER WRITTEN APPROVAL BEFORE IT IS COMMITTED",""))</f>
        <v/>
      </c>
    </row>
    <row r="21" ht="20" customHeight="1">
      <c r="B21" s="20" t="inlineStr">
        <is>
          <t>Other (specify in the note column)</t>
        </is>
      </c>
      <c r="C21" s="17" t="n">
        <v>0</v>
      </c>
      <c r="D21" s="21">
        <f>IF(C21="","",IF(C21&gt;25000,"NEEDS PARTNER WRITTEN APPROVAL BEFORE IT IS COMMITTED",""))</f>
        <v/>
      </c>
    </row>
    <row r="22" ht="30" customHeight="1">
      <c r="B22" s="9" t="inlineStr">
        <is>
          <t>Total direct expenses</t>
        </is>
      </c>
      <c r="C22" s="22">
        <f>SUM(C12:C21)</f>
        <v/>
      </c>
      <c r="D22" s="13" t="inlineStr">
        <is>
          <t>Only these expenses are deducted. Devzard's salaries, overheads, tools, internal rework and late-delivery penalties are never deducted.</t>
        </is>
      </c>
    </row>
    <row r="24" ht="24" customHeight="1">
      <c r="A24" s="3" t="inlineStr">
        <is>
          <t>3  RESULT</t>
        </is>
      </c>
      <c r="B24" s="4" t="n"/>
      <c r="C24" s="4" t="n"/>
      <c r="D24" s="4" t="n"/>
    </row>
    <row r="25">
      <c r="B25" s="7" t="inlineStr">
        <is>
          <t>Gross client revenue received</t>
        </is>
      </c>
      <c r="C25" s="23">
        <f>C8</f>
        <v/>
      </c>
    </row>
    <row r="26">
      <c r="B26" s="7" t="inlineStr">
        <is>
          <t>Less: total direct expenses</t>
        </is>
      </c>
      <c r="C26" s="24">
        <f>-C22</f>
        <v/>
      </c>
    </row>
    <row r="27" ht="22" customHeight="1">
      <c r="B27" s="25" t="inlineStr">
        <is>
          <t>NET PROFIT</t>
        </is>
      </c>
      <c r="C27" s="26">
        <f>C8-C22</f>
        <v/>
      </c>
    </row>
    <row r="28">
      <c r="B28" s="27">
        <f>IF(C27&lt;0,"This project shows a loss. No commission is payable — and nothing is ever charged to you.",IF(C27=0,"No profit on this project, so no commission.","Project is profitable — see the split below."))</f>
        <v/>
      </c>
    </row>
    <row r="30" ht="24" customHeight="1">
      <c r="A30" s="3" t="inlineStr">
        <is>
          <t>4  SPLIT</t>
        </is>
      </c>
      <c r="B30" s="4" t="n"/>
      <c r="C30" s="4" t="n"/>
      <c r="D30" s="4" t="n"/>
    </row>
    <row r="31">
      <c r="B31" s="18" t="inlineStr">
        <is>
          <t>Share</t>
        </is>
      </c>
      <c r="C31" s="19" t="inlineStr">
        <is>
          <t>Amount (PKR)</t>
        </is>
      </c>
      <c r="D31" s="19" t="inlineStr">
        <is>
          <t>Of net profit</t>
        </is>
      </c>
    </row>
    <row r="32" ht="20" customHeight="1">
      <c r="B32" s="28" t="inlineStr">
        <is>
          <t>Devzard</t>
        </is>
      </c>
      <c r="C32" s="29">
        <f>MAX(0,C27)*(1-C5)</f>
        <v/>
      </c>
      <c r="D32" s="30">
        <f>IF(MAX(0,$C$27)=0,"",1-$C$5)</f>
        <v/>
      </c>
    </row>
    <row r="33" ht="20" customHeight="1">
      <c r="B33" s="31" t="inlineStr">
        <is>
          <t>Sales partner  —  YOUR SHARE</t>
        </is>
      </c>
      <c r="C33" s="32">
        <f>MAX(0,C27)*C5</f>
        <v/>
      </c>
      <c r="D33" s="30">
        <f>IF(MAX(0,$C$27)=0,"",$C$5)</f>
        <v/>
      </c>
    </row>
    <row r="35">
      <c r="B35" s="33">
        <f>IF(C33&lt;5000,"Your share is below the PKR 5,000 minimum payout — it carries forward to the next payout.","Your share is above the PKR 5,000 minimum payout.")</f>
        <v/>
      </c>
    </row>
    <row r="36">
      <c r="B36" s="34">
        <f>IF(C27&lt;=0,"",TEXT(C33/C8,"0.0%")&amp;" of the client revenue you brought in ends up in your pocket.")</f>
        <v/>
      </c>
    </row>
    <row r="37">
      <c r="B37" s="35">
        <f>IF(C8=0,"Enter the client revenue in cell C8 to begin.","")</f>
        <v/>
      </c>
    </row>
    <row r="39" ht="32" customHeight="1">
      <c r="B39" s="13" t="inlineStr">
        <is>
          <t>Reminder: never quote a price, offer a discount or commit to a delivery date without written confirmation from Devzard. Unapproved discounts reduce net profit — and 30% of that reduction is yours.</t>
        </is>
      </c>
    </row>
  </sheetData>
  <mergeCells count="11">
    <mergeCell ref="A2:F2"/>
    <mergeCell ref="B28:D28"/>
    <mergeCell ref="B36:D36"/>
    <mergeCell ref="B37:D37"/>
    <mergeCell ref="A1:F1"/>
    <mergeCell ref="B35:D35"/>
    <mergeCell ref="A30:D30"/>
    <mergeCell ref="A7:D7"/>
    <mergeCell ref="A24:D24"/>
    <mergeCell ref="B39:D39"/>
    <mergeCell ref="A10:D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22" customWidth="1" min="8" max="8"/>
  </cols>
  <sheetData>
    <row r="1" ht="28" customHeight="1">
      <c r="A1" s="1" t="inlineStr">
        <is>
          <t>Worked examples</t>
        </is>
      </c>
    </row>
    <row r="2" ht="18" customHeight="1">
      <c r="A2" s="2" t="inlineStr">
        <is>
          <t>Every figure below is a live formula — change any revenue or expense cell and the split updates.</t>
        </is>
      </c>
    </row>
    <row r="4" ht="24" customHeight="1">
      <c r="A4" s="3" t="inlineStr">
        <is>
          <t>A  SUMMARY OF WORKED EXAMPLES</t>
        </is>
      </c>
      <c r="B4" s="4" t="n"/>
      <c r="C4" s="4" t="n"/>
      <c r="D4" s="4" t="n"/>
      <c r="E4" s="4" t="n"/>
      <c r="F4" s="4" t="n"/>
      <c r="G4" s="4" t="n"/>
    </row>
    <row r="5">
      <c r="B5" s="18" t="inlineStr">
        <is>
          <t>Example</t>
        </is>
      </c>
      <c r="C5" s="19" t="inlineStr">
        <is>
          <t>Client revenue</t>
        </is>
      </c>
      <c r="D5" s="19" t="inlineStr">
        <is>
          <t>Direct expenses</t>
        </is>
      </c>
      <c r="E5" s="19" t="inlineStr">
        <is>
          <t>Net profit</t>
        </is>
      </c>
      <c r="F5" s="19" t="inlineStr">
        <is>
          <t>Devzard 70%</t>
        </is>
      </c>
      <c r="G5" s="19" t="inlineStr">
        <is>
          <t>Partner 30%</t>
        </is>
      </c>
      <c r="H5" s="19" t="inlineStr">
        <is>
          <t>Note</t>
        </is>
      </c>
    </row>
    <row r="6" ht="20" customHeight="1">
      <c r="B6" s="36" t="inlineStr">
        <is>
          <t>Landing page (reference deal)</t>
        </is>
      </c>
      <c r="C6" s="37" t="n">
        <v>20000</v>
      </c>
      <c r="D6" s="37" t="n">
        <v>5000</v>
      </c>
      <c r="E6" s="38">
        <f>C6-D6</f>
        <v/>
      </c>
      <c r="F6" s="37">
        <f>MAX(0,E6)*0.7</f>
        <v/>
      </c>
      <c r="G6" s="39">
        <f>MAX(0,E6)*0.3</f>
        <v/>
      </c>
      <c r="H6" s="40" t="inlineStr">
        <is>
          <t>The example used across the programme documents</t>
        </is>
      </c>
    </row>
    <row r="7" ht="20" customHeight="1">
      <c r="B7" s="36" t="inlineStr">
        <is>
          <t>Business website (5-8 pages)</t>
        </is>
      </c>
      <c r="C7" s="37" t="n">
        <v>120000</v>
      </c>
      <c r="D7" s="37" t="n">
        <v>36400</v>
      </c>
      <c r="E7" s="38">
        <f>C7-D7</f>
        <v/>
      </c>
      <c r="F7" s="37">
        <f>MAX(0,E7)*0.7</f>
        <v/>
      </c>
      <c r="G7" s="39">
        <f>MAX(0,E7)*0.3</f>
        <v/>
      </c>
      <c r="H7" s="40" t="inlineStr">
        <is>
          <t>Domain, theme, imagery, gateway fees</t>
        </is>
      </c>
    </row>
    <row r="8" ht="20" customHeight="1">
      <c r="B8" s="36" t="inlineStr">
        <is>
          <t>E-commerce store</t>
        </is>
      </c>
      <c r="C8" s="37" t="n">
        <v>250000</v>
      </c>
      <c r="D8" s="37" t="n">
        <v>152250</v>
      </c>
      <c r="E8" s="38">
        <f>C8-D8</f>
        <v/>
      </c>
      <c r="F8" s="37">
        <f>MAX(0,E8)*0.7</f>
        <v/>
      </c>
      <c r="G8" s="39">
        <f>MAX(0,E8)*0.3</f>
        <v/>
      </c>
      <c r="H8" s="40" t="inlineStr">
        <is>
          <t>Plugins, photography, outsourced dev, gateway fees</t>
        </is>
      </c>
    </row>
    <row r="9" ht="20" customHeight="1">
      <c r="B9" s="36" t="inlineStr">
        <is>
          <t>Custom web application</t>
        </is>
      </c>
      <c r="C9" s="37" t="n">
        <v>650000</v>
      </c>
      <c r="D9" s="37" t="n">
        <v>330000</v>
      </c>
      <c r="E9" s="38">
        <f>C9-D9</f>
        <v/>
      </c>
      <c r="F9" s="37">
        <f>MAX(0,E9)*0.7</f>
        <v/>
      </c>
      <c r="G9" s="39">
        <f>MAX(0,E9)*0.3</f>
        <v/>
      </c>
      <c r="H9" s="40" t="inlineStr">
        <is>
          <t>Hosting, senior subcontractor, licences</t>
        </is>
      </c>
    </row>
    <row r="10" ht="20" customHeight="1">
      <c r="B10" s="36" t="inlineStr">
        <is>
          <t>Maintenance retainer (per month)</t>
        </is>
      </c>
      <c r="C10" s="37" t="n">
        <v>35000</v>
      </c>
      <c r="D10" s="37" t="n">
        <v>5000</v>
      </c>
      <c r="E10" s="38">
        <f>C10-D10</f>
        <v/>
      </c>
      <c r="F10" s="37">
        <f>MAX(0,E10)*0.7</f>
        <v/>
      </c>
      <c r="G10" s="39">
        <f>MAX(0,E10)*0.3</f>
        <v/>
      </c>
      <c r="H10" s="40" t="inlineStr">
        <is>
          <t>Recurring — paid every month the client stays</t>
        </is>
      </c>
    </row>
    <row r="11" ht="20" customHeight="1">
      <c r="B11" s="36" t="inlineStr">
        <is>
          <t>UI/UX design package</t>
        </is>
      </c>
      <c r="C11" s="37" t="n">
        <v>90000</v>
      </c>
      <c r="D11" s="37" t="n">
        <v>22000</v>
      </c>
      <c r="E11" s="38">
        <f>C11-D11</f>
        <v/>
      </c>
      <c r="F11" s="37">
        <f>MAX(0,E11)*0.7</f>
        <v/>
      </c>
      <c r="G11" s="39">
        <f>MAX(0,E11)*0.3</f>
        <v/>
      </c>
      <c r="H11" s="40" t="inlineStr">
        <is>
          <t>Stock assets, freelance designer support</t>
        </is>
      </c>
    </row>
    <row r="12" ht="20" customHeight="1">
      <c r="B12" s="36" t="inlineStr">
        <is>
          <t>Branding and identity package</t>
        </is>
      </c>
      <c r="C12" s="37" t="n">
        <v>45000</v>
      </c>
      <c r="D12" s="37" t="n">
        <v>12000</v>
      </c>
      <c r="E12" s="38">
        <f>C12-D12</f>
        <v/>
      </c>
      <c r="F12" s="37">
        <f>MAX(0,E12)*0.7</f>
        <v/>
      </c>
      <c r="G12" s="39">
        <f>MAX(0,E12)*0.3</f>
        <v/>
      </c>
      <c r="H12" s="40" t="inlineStr">
        <is>
          <t>Fonts, stock assets, printing proofs</t>
        </is>
      </c>
    </row>
    <row r="13" ht="20" customHeight="1">
      <c r="B13" s="36" t="inlineStr">
        <is>
          <t>SEO retainer (per month)</t>
        </is>
      </c>
      <c r="C13" s="37" t="n">
        <v>40000</v>
      </c>
      <c r="D13" s="37" t="n">
        <v>9000</v>
      </c>
      <c r="E13" s="38">
        <f>C13-D13</f>
        <v/>
      </c>
      <c r="F13" s="37">
        <f>MAX(0,E13)*0.7</f>
        <v/>
      </c>
      <c r="G13" s="39">
        <f>MAX(0,E13)*0.3</f>
        <v/>
      </c>
      <c r="H13" s="40" t="inlineStr">
        <is>
          <t>Tool licences and ad-hoc content costs</t>
        </is>
      </c>
    </row>
    <row r="14">
      <c r="B14" s="9" t="inlineStr">
        <is>
          <t>TOTAL if all of the above closed in one year</t>
        </is>
      </c>
      <c r="C14" s="41">
        <f>SUM(C6:C13)</f>
        <v/>
      </c>
      <c r="D14" s="41">
        <f>SUM(D6:D13)</f>
        <v/>
      </c>
      <c r="E14" s="41">
        <f>SUM(E6:E13)</f>
        <v/>
      </c>
      <c r="F14" s="41">
        <f>SUM(F6:F13)</f>
        <v/>
      </c>
      <c r="G14" s="41">
        <f>SUM(G6:G13)</f>
        <v/>
      </c>
      <c r="H14" s="42" t="inlineStr">
        <is>
          <t>Illustrative only — not a forecast or a promise.</t>
        </is>
      </c>
    </row>
    <row r="17" ht="24" customHeight="1">
      <c r="A17" s="3" t="inlineStr">
        <is>
          <t>B  WHY AN UNAPPROVED DISCOUNT IS EXPENSIVE</t>
        </is>
      </c>
      <c r="B17" s="4" t="n"/>
      <c r="C17" s="4" t="n"/>
      <c r="D17" s="4" t="n"/>
      <c r="E17" s="4" t="n"/>
      <c r="F17" s="4" t="n"/>
      <c r="G17" s="4" t="n"/>
    </row>
    <row r="19">
      <c r="B19" s="18" t="inlineStr">
        <is>
          <t>Scenario</t>
        </is>
      </c>
      <c r="C19" s="19" t="inlineStr">
        <is>
          <t>Client revenue</t>
        </is>
      </c>
      <c r="D19" s="19" t="inlineStr">
        <is>
          <t>Direct expenses</t>
        </is>
      </c>
      <c r="E19" s="19" t="inlineStr">
        <is>
          <t>Net profit</t>
        </is>
      </c>
      <c r="F19" s="19" t="inlineStr">
        <is>
          <t>Devzard 70%</t>
        </is>
      </c>
      <c r="G19" s="19" t="inlineStr">
        <is>
          <t>Partner 30%</t>
        </is>
      </c>
    </row>
    <row r="20">
      <c r="B20" s="28" t="inlineStr">
        <is>
          <t>Price approved by Devzard</t>
        </is>
      </c>
      <c r="C20" s="43" t="n">
        <v>150000</v>
      </c>
      <c r="D20" s="43" t="n">
        <v>40000</v>
      </c>
      <c r="E20" s="44">
        <f>C20-D20</f>
        <v/>
      </c>
      <c r="F20" s="43">
        <f>MAX(0,E20)*0.7</f>
        <v/>
      </c>
      <c r="G20" s="45">
        <f>MAX(0,E20)*0.3</f>
        <v/>
      </c>
    </row>
    <row r="21">
      <c r="B21" s="28" t="inlineStr">
        <is>
          <t>You discount 20% without asking</t>
        </is>
      </c>
      <c r="C21" s="43" t="n">
        <v>120000</v>
      </c>
      <c r="D21" s="43" t="n">
        <v>40000</v>
      </c>
      <c r="E21" s="44">
        <f>C21-D21</f>
        <v/>
      </c>
      <c r="F21" s="43">
        <f>MAX(0,E21)*0.7</f>
        <v/>
      </c>
      <c r="G21" s="45">
        <f>MAX(0,E21)*0.3</f>
        <v/>
      </c>
    </row>
    <row r="22">
      <c r="B22" s="9" t="inlineStr">
        <is>
          <t>What the discount costs you</t>
        </is>
      </c>
      <c r="G22" s="46">
        <f>G21-G20</f>
        <v/>
      </c>
    </row>
    <row r="25" ht="24" customHeight="1">
      <c r="A25" s="3" t="inlineStr">
        <is>
          <t>C  MILESTONE PAYMENTS  (revenue 300,000 · expenses 100,000 · your total 60,000)</t>
        </is>
      </c>
      <c r="B25" s="4" t="n"/>
      <c r="C25" s="4" t="n"/>
      <c r="D25" s="4" t="n"/>
      <c r="E25" s="4" t="n"/>
      <c r="F25" s="4" t="n"/>
      <c r="G25" s="4" t="n"/>
    </row>
    <row r="27">
      <c r="B27" s="18" t="inlineStr">
        <is>
          <t>Milestone</t>
        </is>
      </c>
      <c r="C27" s="19" t="inlineStr">
        <is>
          <t>Client pays</t>
        </is>
      </c>
      <c r="D27" s="19" t="inlineStr">
        <is>
          <t>Expenses to date</t>
        </is>
      </c>
      <c r="E27" s="19" t="inlineStr">
        <is>
          <t>Net profit</t>
        </is>
      </c>
      <c r="F27" s="19" t="inlineStr">
        <is>
          <t>Devzard 70%</t>
        </is>
      </c>
      <c r="G27" s="19" t="inlineStr">
        <is>
          <t>Partner 30%</t>
        </is>
      </c>
    </row>
    <row r="28">
      <c r="B28" s="28" t="inlineStr">
        <is>
          <t>Advance (50%)</t>
        </is>
      </c>
      <c r="C28" s="43" t="n">
        <v>150000</v>
      </c>
      <c r="D28" s="43" t="n">
        <v>40000</v>
      </c>
      <c r="E28" s="44">
        <f>C28-D28</f>
        <v/>
      </c>
      <c r="F28" s="43">
        <f>MAX(0,E28)*0.7</f>
        <v/>
      </c>
      <c r="G28" s="45">
        <f>MAX(0,E28)*0.3</f>
        <v/>
      </c>
    </row>
    <row r="29">
      <c r="B29" s="28" t="inlineStr">
        <is>
          <t>Mid-project (40%)</t>
        </is>
      </c>
      <c r="C29" s="43" t="n">
        <v>120000</v>
      </c>
      <c r="D29" s="43" t="n">
        <v>45000</v>
      </c>
      <c r="E29" s="44">
        <f>C29-D29</f>
        <v/>
      </c>
      <c r="F29" s="43">
        <f>MAX(0,E29)*0.7</f>
        <v/>
      </c>
      <c r="G29" s="45">
        <f>MAX(0,E29)*0.3</f>
        <v/>
      </c>
    </row>
    <row r="30">
      <c r="B30" s="28" t="inlineStr">
        <is>
          <t>Final delivery (10%)</t>
        </is>
      </c>
      <c r="C30" s="43" t="n">
        <v>30000</v>
      </c>
      <c r="D30" s="43" t="n">
        <v>15000</v>
      </c>
      <c r="E30" s="44">
        <f>C30-D30</f>
        <v/>
      </c>
      <c r="F30" s="43">
        <f>MAX(0,E30)*0.7</f>
        <v/>
      </c>
      <c r="G30" s="45">
        <f>MAX(0,E30)*0.3</f>
        <v/>
      </c>
    </row>
    <row r="31">
      <c r="B31" s="14" t="inlineStr">
        <is>
          <t>TOTAL</t>
        </is>
      </c>
      <c r="C31" s="47">
        <f>SUM(C28:C30)</f>
        <v/>
      </c>
      <c r="D31" s="47">
        <f>SUM(D28:D30)</f>
        <v/>
      </c>
      <c r="E31" s="47">
        <f>SUM(E28:E30)</f>
        <v/>
      </c>
      <c r="F31" s="47">
        <f>SUM(F28:F30)</f>
        <v/>
      </c>
      <c r="G31" s="47">
        <f>SUM(G28:G30)</f>
        <v/>
      </c>
    </row>
    <row r="32">
      <c r="B32" s="13" t="inlineStr">
        <is>
          <t>Commission is paid milestone by milestone, once each client payment clears and the related work is delivered.</t>
        </is>
      </c>
    </row>
  </sheetData>
  <mergeCells count="6">
    <mergeCell ref="A1:G1"/>
    <mergeCell ref="A17:G17"/>
    <mergeCell ref="A4:G4"/>
    <mergeCell ref="B32:G32"/>
    <mergeCell ref="A2:G2"/>
    <mergeCell ref="A25:G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8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2" customWidth="1" min="2" max="2"/>
    <col width="22" customWidth="1" min="3" max="3"/>
    <col width="24" customWidth="1" min="4" max="4"/>
    <col width="14" customWidth="1" min="5" max="5"/>
    <col width="14" customWidth="1" min="6" max="6"/>
    <col width="14" customWidth="1" min="7" max="7"/>
    <col width="15" customWidth="1" min="8" max="8"/>
    <col width="13" customWidth="1" min="9" max="9"/>
    <col width="12" customWidth="1" min="10" max="10"/>
    <col width="12" customWidth="1" min="11" max="11"/>
    <col width="18" customWidth="1" min="12" max="12"/>
  </cols>
  <sheetData>
    <row r="1" ht="28" customHeight="1">
      <c r="A1" s="1" t="inlineStr">
        <is>
          <t>Payout Tracker</t>
        </is>
      </c>
    </row>
    <row r="2" ht="18" customHeight="1">
      <c r="A2" s="2" t="inlineStr">
        <is>
          <t>Log every closed deal. Earnings, paid and outstanding totals update automatically.</t>
        </is>
      </c>
    </row>
    <row r="4">
      <c r="B4" s="48" t="inlineStr">
        <is>
          <t>TOTAL NET PROFIT LOGGED</t>
        </is>
      </c>
      <c r="C4" s="49">
        <f>SUM(G7:G36)</f>
        <v/>
      </c>
      <c r="D4" s="48" t="inlineStr">
        <is>
          <t>YOUR COMMISSION EARNED</t>
        </is>
      </c>
      <c r="E4" s="50">
        <f>SUM(H7:H36)</f>
        <v/>
      </c>
    </row>
    <row r="5">
      <c r="B5" s="48" t="inlineStr">
        <is>
          <t>PAID TO YOU</t>
        </is>
      </c>
      <c r="C5" s="49">
        <f>SUMIF(J7:J36,"Y",H7:H36)</f>
        <v/>
      </c>
      <c r="D5" s="48" t="inlineStr">
        <is>
          <t>OUTSTANDING</t>
        </is>
      </c>
      <c r="E5" s="49">
        <f>SUMIF(J7:J36,"&lt;&gt;Y",H7:H36)</f>
        <v/>
      </c>
    </row>
    <row r="6" ht="32" customHeight="1">
      <c r="B6" s="51" t="inlineStr">
        <is>
          <t>Date closed</t>
        </is>
      </c>
      <c r="C6" s="51" t="inlineStr">
        <is>
          <t>Client</t>
        </is>
      </c>
      <c r="D6" s="51" t="inlineStr">
        <is>
          <t>Project</t>
        </is>
      </c>
      <c r="E6" s="51" t="inlineStr">
        <is>
          <t>Client revenue</t>
        </is>
      </c>
      <c r="F6" s="51" t="inlineStr">
        <is>
          <t>Direct expenses</t>
        </is>
      </c>
      <c r="G6" s="51" t="inlineStr">
        <is>
          <t>Net profit</t>
        </is>
      </c>
      <c r="H6" s="51" t="inlineStr">
        <is>
          <t>Your 30%</t>
        </is>
      </c>
      <c r="I6" s="51" t="inlineStr">
        <is>
          <t>Statement received?</t>
        </is>
      </c>
      <c r="J6" s="51" t="inlineStr">
        <is>
          <t>Paid?</t>
        </is>
      </c>
      <c r="K6" s="51" t="inlineStr">
        <is>
          <t>Date paid</t>
        </is>
      </c>
      <c r="L6" s="51" t="inlineStr">
        <is>
          <t>Notes</t>
        </is>
      </c>
    </row>
    <row r="7">
      <c r="B7" s="52" t="n"/>
      <c r="C7" s="53" t="n"/>
      <c r="D7" s="15" t="n"/>
      <c r="E7" s="15" t="n"/>
      <c r="F7" s="15" t="n"/>
      <c r="G7" s="54">
        <f>IF(OR(D7="",E7=""),"",D7-E7)</f>
        <v/>
      </c>
      <c r="H7" s="45">
        <f>IF(G7="","",MAX(0,G7)*0.3)</f>
        <v/>
      </c>
      <c r="I7" s="52" t="n"/>
      <c r="J7" s="52" t="n"/>
      <c r="K7" s="53" t="n"/>
      <c r="L7" s="53" t="n"/>
    </row>
    <row r="8">
      <c r="B8" s="52" t="n"/>
      <c r="C8" s="53" t="n"/>
      <c r="D8" s="15" t="n"/>
      <c r="E8" s="15" t="n"/>
      <c r="F8" s="15" t="n"/>
      <c r="G8" s="54">
        <f>IF(OR(D8="",E8=""),"",D8-E8)</f>
        <v/>
      </c>
      <c r="H8" s="45">
        <f>IF(G8="","",MAX(0,G8)*0.3)</f>
        <v/>
      </c>
      <c r="I8" s="52" t="n"/>
      <c r="J8" s="52" t="n"/>
      <c r="K8" s="53" t="n"/>
      <c r="L8" s="53" t="n"/>
    </row>
    <row r="9">
      <c r="B9" s="52" t="n"/>
      <c r="C9" s="53" t="n"/>
      <c r="D9" s="15" t="n"/>
      <c r="E9" s="15" t="n"/>
      <c r="F9" s="15" t="n"/>
      <c r="G9" s="54">
        <f>IF(OR(D9="",E9=""),"",D9-E9)</f>
        <v/>
      </c>
      <c r="H9" s="45">
        <f>IF(G9="","",MAX(0,G9)*0.3)</f>
        <v/>
      </c>
      <c r="I9" s="52" t="n"/>
      <c r="J9" s="52" t="n"/>
      <c r="K9" s="53" t="n"/>
      <c r="L9" s="53" t="n"/>
    </row>
    <row r="10">
      <c r="B10" s="52" t="n"/>
      <c r="C10" s="53" t="n"/>
      <c r="D10" s="15" t="n"/>
      <c r="E10" s="15" t="n"/>
      <c r="F10" s="15" t="n"/>
      <c r="G10" s="54">
        <f>IF(OR(D10="",E10=""),"",D10-E10)</f>
        <v/>
      </c>
      <c r="H10" s="45">
        <f>IF(G10="","",MAX(0,G10)*0.3)</f>
        <v/>
      </c>
      <c r="I10" s="52" t="n"/>
      <c r="J10" s="52" t="n"/>
      <c r="K10" s="53" t="n"/>
      <c r="L10" s="53" t="n"/>
    </row>
    <row r="11">
      <c r="B11" s="52" t="n"/>
      <c r="C11" s="53" t="n"/>
      <c r="D11" s="15" t="n"/>
      <c r="E11" s="15" t="n"/>
      <c r="F11" s="15" t="n"/>
      <c r="G11" s="54">
        <f>IF(OR(D11="",E11=""),"",D11-E11)</f>
        <v/>
      </c>
      <c r="H11" s="45">
        <f>IF(G11="","",MAX(0,G11)*0.3)</f>
        <v/>
      </c>
      <c r="I11" s="52" t="n"/>
      <c r="J11" s="52" t="n"/>
      <c r="K11" s="53" t="n"/>
      <c r="L11" s="53" t="n"/>
    </row>
    <row r="12">
      <c r="B12" s="52" t="n"/>
      <c r="C12" s="53" t="n"/>
      <c r="D12" s="15" t="n"/>
      <c r="E12" s="15" t="n"/>
      <c r="F12" s="15" t="n"/>
      <c r="G12" s="54">
        <f>IF(OR(D12="",E12=""),"",D12-E12)</f>
        <v/>
      </c>
      <c r="H12" s="45">
        <f>IF(G12="","",MAX(0,G12)*0.3)</f>
        <v/>
      </c>
      <c r="I12" s="52" t="n"/>
      <c r="J12" s="52" t="n"/>
      <c r="K12" s="53" t="n"/>
      <c r="L12" s="53" t="n"/>
    </row>
    <row r="13">
      <c r="B13" s="52" t="n"/>
      <c r="C13" s="53" t="n"/>
      <c r="D13" s="15" t="n"/>
      <c r="E13" s="15" t="n"/>
      <c r="F13" s="15" t="n"/>
      <c r="G13" s="54">
        <f>IF(OR(D13="",E13=""),"",D13-E13)</f>
        <v/>
      </c>
      <c r="H13" s="45">
        <f>IF(G13="","",MAX(0,G13)*0.3)</f>
        <v/>
      </c>
      <c r="I13" s="52" t="n"/>
      <c r="J13" s="52" t="n"/>
      <c r="K13" s="53" t="n"/>
      <c r="L13" s="53" t="n"/>
    </row>
    <row r="14">
      <c r="B14" s="52" t="n"/>
      <c r="C14" s="53" t="n"/>
      <c r="D14" s="15" t="n"/>
      <c r="E14" s="15" t="n"/>
      <c r="F14" s="15" t="n"/>
      <c r="G14" s="54">
        <f>IF(OR(D14="",E14=""),"",D14-E14)</f>
        <v/>
      </c>
      <c r="H14" s="45">
        <f>IF(G14="","",MAX(0,G14)*0.3)</f>
        <v/>
      </c>
      <c r="I14" s="52" t="n"/>
      <c r="J14" s="52" t="n"/>
      <c r="K14" s="53" t="n"/>
      <c r="L14" s="53" t="n"/>
    </row>
    <row r="15">
      <c r="B15" s="52" t="n"/>
      <c r="C15" s="53" t="n"/>
      <c r="D15" s="15" t="n"/>
      <c r="E15" s="15" t="n"/>
      <c r="F15" s="15" t="n"/>
      <c r="G15" s="54">
        <f>IF(OR(D15="",E15=""),"",D15-E15)</f>
        <v/>
      </c>
      <c r="H15" s="45">
        <f>IF(G15="","",MAX(0,G15)*0.3)</f>
        <v/>
      </c>
      <c r="I15" s="52" t="n"/>
      <c r="J15" s="52" t="n"/>
      <c r="K15" s="53" t="n"/>
      <c r="L15" s="53" t="n"/>
    </row>
    <row r="16">
      <c r="B16" s="52" t="n"/>
      <c r="C16" s="53" t="n"/>
      <c r="D16" s="15" t="n"/>
      <c r="E16" s="15" t="n"/>
      <c r="F16" s="15" t="n"/>
      <c r="G16" s="54">
        <f>IF(OR(D16="",E16=""),"",D16-E16)</f>
        <v/>
      </c>
      <c r="H16" s="45">
        <f>IF(G16="","",MAX(0,G16)*0.3)</f>
        <v/>
      </c>
      <c r="I16" s="52" t="n"/>
      <c r="J16" s="52" t="n"/>
      <c r="K16" s="53" t="n"/>
      <c r="L16" s="53" t="n"/>
    </row>
    <row r="17">
      <c r="B17" s="52" t="n"/>
      <c r="C17" s="53" t="n"/>
      <c r="D17" s="15" t="n"/>
      <c r="E17" s="15" t="n"/>
      <c r="F17" s="15" t="n"/>
      <c r="G17" s="54">
        <f>IF(OR(D17="",E17=""),"",D17-E17)</f>
        <v/>
      </c>
      <c r="H17" s="45">
        <f>IF(G17="","",MAX(0,G17)*0.3)</f>
        <v/>
      </c>
      <c r="I17" s="52" t="n"/>
      <c r="J17" s="52" t="n"/>
      <c r="K17" s="53" t="n"/>
      <c r="L17" s="53" t="n"/>
    </row>
    <row r="18">
      <c r="B18" s="52" t="n"/>
      <c r="C18" s="53" t="n"/>
      <c r="D18" s="15" t="n"/>
      <c r="E18" s="15" t="n"/>
      <c r="F18" s="15" t="n"/>
      <c r="G18" s="54">
        <f>IF(OR(D18="",E18=""),"",D18-E18)</f>
        <v/>
      </c>
      <c r="H18" s="45">
        <f>IF(G18="","",MAX(0,G18)*0.3)</f>
        <v/>
      </c>
      <c r="I18" s="52" t="n"/>
      <c r="J18" s="52" t="n"/>
      <c r="K18" s="53" t="n"/>
      <c r="L18" s="53" t="n"/>
    </row>
    <row r="19">
      <c r="B19" s="52" t="n"/>
      <c r="C19" s="53" t="n"/>
      <c r="D19" s="15" t="n"/>
      <c r="E19" s="15" t="n"/>
      <c r="F19" s="15" t="n"/>
      <c r="G19" s="54">
        <f>IF(OR(D19="",E19=""),"",D19-E19)</f>
        <v/>
      </c>
      <c r="H19" s="45">
        <f>IF(G19="","",MAX(0,G19)*0.3)</f>
        <v/>
      </c>
      <c r="I19" s="52" t="n"/>
      <c r="J19" s="52" t="n"/>
      <c r="K19" s="53" t="n"/>
      <c r="L19" s="53" t="n"/>
    </row>
    <row r="20">
      <c r="B20" s="52" t="n"/>
      <c r="C20" s="53" t="n"/>
      <c r="D20" s="15" t="n"/>
      <c r="E20" s="15" t="n"/>
      <c r="F20" s="15" t="n"/>
      <c r="G20" s="54">
        <f>IF(OR(D20="",E20=""),"",D20-E20)</f>
        <v/>
      </c>
      <c r="H20" s="45">
        <f>IF(G20="","",MAX(0,G20)*0.3)</f>
        <v/>
      </c>
      <c r="I20" s="52" t="n"/>
      <c r="J20" s="52" t="n"/>
      <c r="K20" s="53" t="n"/>
      <c r="L20" s="53" t="n"/>
    </row>
    <row r="21">
      <c r="B21" s="52" t="n"/>
      <c r="C21" s="53" t="n"/>
      <c r="D21" s="15" t="n"/>
      <c r="E21" s="15" t="n"/>
      <c r="F21" s="15" t="n"/>
      <c r="G21" s="54">
        <f>IF(OR(D21="",E21=""),"",D21-E21)</f>
        <v/>
      </c>
      <c r="H21" s="45">
        <f>IF(G21="","",MAX(0,G21)*0.3)</f>
        <v/>
      </c>
      <c r="I21" s="52" t="n"/>
      <c r="J21" s="52" t="n"/>
      <c r="K21" s="53" t="n"/>
      <c r="L21" s="53" t="n"/>
    </row>
    <row r="22">
      <c r="B22" s="52" t="n"/>
      <c r="C22" s="53" t="n"/>
      <c r="D22" s="15" t="n"/>
      <c r="E22" s="15" t="n"/>
      <c r="F22" s="15" t="n"/>
      <c r="G22" s="54">
        <f>IF(OR(D22="",E22=""),"",D22-E22)</f>
        <v/>
      </c>
      <c r="H22" s="45">
        <f>IF(G22="","",MAX(0,G22)*0.3)</f>
        <v/>
      </c>
      <c r="I22" s="52" t="n"/>
      <c r="J22" s="52" t="n"/>
      <c r="K22" s="53" t="n"/>
      <c r="L22" s="53" t="n"/>
    </row>
    <row r="23">
      <c r="B23" s="52" t="n"/>
      <c r="C23" s="53" t="n"/>
      <c r="D23" s="15" t="n"/>
      <c r="E23" s="15" t="n"/>
      <c r="F23" s="15" t="n"/>
      <c r="G23" s="54">
        <f>IF(OR(D23="",E23=""),"",D23-E23)</f>
        <v/>
      </c>
      <c r="H23" s="45">
        <f>IF(G23="","",MAX(0,G23)*0.3)</f>
        <v/>
      </c>
      <c r="I23" s="52" t="n"/>
      <c r="J23" s="52" t="n"/>
      <c r="K23" s="53" t="n"/>
      <c r="L23" s="53" t="n"/>
    </row>
    <row r="24">
      <c r="B24" s="52" t="n"/>
      <c r="C24" s="53" t="n"/>
      <c r="D24" s="15" t="n"/>
      <c r="E24" s="15" t="n"/>
      <c r="F24" s="15" t="n"/>
      <c r="G24" s="54">
        <f>IF(OR(D24="",E24=""),"",D24-E24)</f>
        <v/>
      </c>
      <c r="H24" s="45">
        <f>IF(G24="","",MAX(0,G24)*0.3)</f>
        <v/>
      </c>
      <c r="I24" s="52" t="n"/>
      <c r="J24" s="52" t="n"/>
      <c r="K24" s="53" t="n"/>
      <c r="L24" s="53" t="n"/>
    </row>
    <row r="25">
      <c r="B25" s="52" t="n"/>
      <c r="C25" s="53" t="n"/>
      <c r="D25" s="15" t="n"/>
      <c r="E25" s="15" t="n"/>
      <c r="F25" s="15" t="n"/>
      <c r="G25" s="54">
        <f>IF(OR(D25="",E25=""),"",D25-E25)</f>
        <v/>
      </c>
      <c r="H25" s="45">
        <f>IF(G25="","",MAX(0,G25)*0.3)</f>
        <v/>
      </c>
      <c r="I25" s="52" t="n"/>
      <c r="J25" s="52" t="n"/>
      <c r="K25" s="53" t="n"/>
      <c r="L25" s="53" t="n"/>
    </row>
    <row r="26">
      <c r="B26" s="52" t="n"/>
      <c r="C26" s="53" t="n"/>
      <c r="D26" s="15" t="n"/>
      <c r="E26" s="15" t="n"/>
      <c r="F26" s="15" t="n"/>
      <c r="G26" s="54">
        <f>IF(OR(D26="",E26=""),"",D26-E26)</f>
        <v/>
      </c>
      <c r="H26" s="45">
        <f>IF(G26="","",MAX(0,G26)*0.3)</f>
        <v/>
      </c>
      <c r="I26" s="52" t="n"/>
      <c r="J26" s="52" t="n"/>
      <c r="K26" s="53" t="n"/>
      <c r="L26" s="53" t="n"/>
    </row>
    <row r="27">
      <c r="B27" s="52" t="n"/>
      <c r="C27" s="53" t="n"/>
      <c r="D27" s="15" t="n"/>
      <c r="E27" s="15" t="n"/>
      <c r="F27" s="15" t="n"/>
      <c r="G27" s="54">
        <f>IF(OR(D27="",E27=""),"",D27-E27)</f>
        <v/>
      </c>
      <c r="H27" s="45">
        <f>IF(G27="","",MAX(0,G27)*0.3)</f>
        <v/>
      </c>
      <c r="I27" s="52" t="n"/>
      <c r="J27" s="52" t="n"/>
      <c r="K27" s="53" t="n"/>
      <c r="L27" s="53" t="n"/>
    </row>
    <row r="28">
      <c r="B28" s="52" t="n"/>
      <c r="C28" s="53" t="n"/>
      <c r="D28" s="15" t="n"/>
      <c r="E28" s="15" t="n"/>
      <c r="F28" s="15" t="n"/>
      <c r="G28" s="54">
        <f>IF(OR(D28="",E28=""),"",D28-E28)</f>
        <v/>
      </c>
      <c r="H28" s="45">
        <f>IF(G28="","",MAX(0,G28)*0.3)</f>
        <v/>
      </c>
      <c r="I28" s="52" t="n"/>
      <c r="J28" s="52" t="n"/>
      <c r="K28" s="53" t="n"/>
      <c r="L28" s="53" t="n"/>
    </row>
    <row r="29">
      <c r="B29" s="52" t="n"/>
      <c r="C29" s="53" t="n"/>
      <c r="D29" s="15" t="n"/>
      <c r="E29" s="15" t="n"/>
      <c r="F29" s="15" t="n"/>
      <c r="G29" s="54">
        <f>IF(OR(D29="",E29=""),"",D29-E29)</f>
        <v/>
      </c>
      <c r="H29" s="45">
        <f>IF(G29="","",MAX(0,G29)*0.3)</f>
        <v/>
      </c>
      <c r="I29" s="52" t="n"/>
      <c r="J29" s="52" t="n"/>
      <c r="K29" s="53" t="n"/>
      <c r="L29" s="53" t="n"/>
    </row>
    <row r="30">
      <c r="B30" s="52" t="n"/>
      <c r="C30" s="53" t="n"/>
      <c r="D30" s="15" t="n"/>
      <c r="E30" s="15" t="n"/>
      <c r="F30" s="15" t="n"/>
      <c r="G30" s="54">
        <f>IF(OR(D30="",E30=""),"",D30-E30)</f>
        <v/>
      </c>
      <c r="H30" s="45">
        <f>IF(G30="","",MAX(0,G30)*0.3)</f>
        <v/>
      </c>
      <c r="I30" s="52" t="n"/>
      <c r="J30" s="52" t="n"/>
      <c r="K30" s="53" t="n"/>
      <c r="L30" s="53" t="n"/>
    </row>
    <row r="31">
      <c r="B31" s="52" t="n"/>
      <c r="C31" s="53" t="n"/>
      <c r="D31" s="15" t="n"/>
      <c r="E31" s="15" t="n"/>
      <c r="F31" s="15" t="n"/>
      <c r="G31" s="54">
        <f>IF(OR(D31="",E31=""),"",D31-E31)</f>
        <v/>
      </c>
      <c r="H31" s="45">
        <f>IF(G31="","",MAX(0,G31)*0.3)</f>
        <v/>
      </c>
      <c r="I31" s="52" t="n"/>
      <c r="J31" s="52" t="n"/>
      <c r="K31" s="53" t="n"/>
      <c r="L31" s="53" t="n"/>
    </row>
    <row r="32">
      <c r="B32" s="52" t="n"/>
      <c r="C32" s="53" t="n"/>
      <c r="D32" s="15" t="n"/>
      <c r="E32" s="15" t="n"/>
      <c r="F32" s="15" t="n"/>
      <c r="G32" s="54">
        <f>IF(OR(D32="",E32=""),"",D32-E32)</f>
        <v/>
      </c>
      <c r="H32" s="45">
        <f>IF(G32="","",MAX(0,G32)*0.3)</f>
        <v/>
      </c>
      <c r="I32" s="52" t="n"/>
      <c r="J32" s="52" t="n"/>
      <c r="K32" s="53" t="n"/>
      <c r="L32" s="53" t="n"/>
    </row>
    <row r="33">
      <c r="B33" s="52" t="n"/>
      <c r="C33" s="53" t="n"/>
      <c r="D33" s="15" t="n"/>
      <c r="E33" s="15" t="n"/>
      <c r="F33" s="15" t="n"/>
      <c r="G33" s="54">
        <f>IF(OR(D33="",E33=""),"",D33-E33)</f>
        <v/>
      </c>
      <c r="H33" s="45">
        <f>IF(G33="","",MAX(0,G33)*0.3)</f>
        <v/>
      </c>
      <c r="I33" s="52" t="n"/>
      <c r="J33" s="52" t="n"/>
      <c r="K33" s="53" t="n"/>
      <c r="L33" s="53" t="n"/>
    </row>
    <row r="34">
      <c r="B34" s="52" t="n"/>
      <c r="C34" s="53" t="n"/>
      <c r="D34" s="15" t="n"/>
      <c r="E34" s="15" t="n"/>
      <c r="F34" s="15" t="n"/>
      <c r="G34" s="54">
        <f>IF(OR(D34="",E34=""),"",D34-E34)</f>
        <v/>
      </c>
      <c r="H34" s="45">
        <f>IF(G34="","",MAX(0,G34)*0.3)</f>
        <v/>
      </c>
      <c r="I34" s="52" t="n"/>
      <c r="J34" s="52" t="n"/>
      <c r="K34" s="53" t="n"/>
      <c r="L34" s="53" t="n"/>
    </row>
    <row r="35">
      <c r="B35" s="52" t="n"/>
      <c r="C35" s="53" t="n"/>
      <c r="D35" s="15" t="n"/>
      <c r="E35" s="15" t="n"/>
      <c r="F35" s="15" t="n"/>
      <c r="G35" s="54">
        <f>IF(OR(D35="",E35=""),"",D35-E35)</f>
        <v/>
      </c>
      <c r="H35" s="45">
        <f>IF(G35="","",MAX(0,G35)*0.3)</f>
        <v/>
      </c>
      <c r="I35" s="52" t="n"/>
      <c r="J35" s="52" t="n"/>
      <c r="K35" s="53" t="n"/>
      <c r="L35" s="53" t="n"/>
    </row>
    <row r="36">
      <c r="B36" s="52" t="n"/>
      <c r="C36" s="53" t="n"/>
      <c r="D36" s="15" t="n"/>
      <c r="E36" s="15" t="n"/>
      <c r="F36" s="15" t="n"/>
      <c r="G36" s="54">
        <f>IF(OR(D36="",E36=""),"",D36-E36)</f>
        <v/>
      </c>
      <c r="H36" s="45">
        <f>IF(G36="","",MAX(0,G36)*0.3)</f>
        <v/>
      </c>
      <c r="I36" s="52" t="n"/>
      <c r="J36" s="52" t="n"/>
      <c r="K36" s="53" t="n"/>
      <c r="L36" s="53" t="n"/>
    </row>
    <row r="38">
      <c r="B38" s="13" t="inlineStr">
        <is>
          <t>Enter client revenue plus any commission adjustment in the Client revenue column (for example -4500 if a refund reduced your commission). 'Y' in Paid? counts towards Paid to You.</t>
        </is>
      </c>
    </row>
  </sheetData>
  <mergeCells count="3">
    <mergeCell ref="A2:K2"/>
    <mergeCell ref="A1:K1"/>
    <mergeCell ref="B38:K38"/>
  </mergeCells>
  <dataValidations count="1">
    <dataValidation sqref="I7:I36 J7:J36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6" customWidth="1" min="2" max="2"/>
    <col width="30" customWidth="1" min="3" max="3"/>
    <col width="30" customWidth="1" min="4" max="4"/>
    <col width="22" customWidth="1" min="5" max="5"/>
    <col width="16" customWidth="1" min="6" max="6"/>
  </cols>
  <sheetData>
    <row r="1" ht="28" customHeight="1">
      <c r="A1" s="1" t="inlineStr">
        <is>
          <t>Rates, rules and the expense list</t>
        </is>
      </c>
    </row>
    <row r="2" ht="18" customHeight="1">
      <c r="A2" s="2" t="inlineStr">
        <is>
          <t>Everything a partner needs on one page.</t>
        </is>
      </c>
    </row>
    <row r="4" ht="24" customHeight="1">
      <c r="A4" s="3" t="inlineStr">
        <is>
          <t>INDICATIVE SERVICE RATES  (PKR — always confirm the final price with Devzard)</t>
        </is>
      </c>
      <c r="B4" s="4" t="n"/>
      <c r="C4" s="4" t="n"/>
      <c r="D4" s="4" t="n"/>
      <c r="E4" s="4" t="n"/>
    </row>
    <row r="6">
      <c r="B6" s="18" t="inlineStr">
        <is>
          <t>Service</t>
        </is>
      </c>
      <c r="C6" s="18" t="inlineStr">
        <is>
          <t>Typical project size (PKR)</t>
        </is>
      </c>
      <c r="D6" s="18" t="inlineStr">
        <is>
          <t>Typical delivery</t>
        </is>
      </c>
    </row>
    <row r="7">
      <c r="B7" s="55" t="inlineStr">
        <is>
          <t>One-page / landing page</t>
        </is>
      </c>
      <c r="C7" s="55" t="inlineStr">
        <is>
          <t>25,000 - 60,000</t>
        </is>
      </c>
      <c r="D7" s="55" t="inlineStr">
        <is>
          <t>1 - 2 weeks</t>
        </is>
      </c>
    </row>
    <row r="8">
      <c r="B8" s="55" t="inlineStr">
        <is>
          <t>Business website (5-8 pages)</t>
        </is>
      </c>
      <c r="C8" s="55" t="inlineStr">
        <is>
          <t>60,000 - 150,000</t>
        </is>
      </c>
      <c r="D8" s="55" t="inlineStr">
        <is>
          <t>2 - 4 weeks</t>
        </is>
      </c>
    </row>
    <row r="9">
      <c r="B9" s="55" t="inlineStr">
        <is>
          <t>E-commerce store (WooCommerce / Shopify)</t>
        </is>
      </c>
      <c r="C9" s="55" t="inlineStr">
        <is>
          <t>120,000 - 350,000</t>
        </is>
      </c>
      <c r="D9" s="55" t="inlineStr">
        <is>
          <t>3 - 6 weeks</t>
        </is>
      </c>
    </row>
    <row r="10">
      <c r="B10" s="55" t="inlineStr">
        <is>
          <t>Custom web app / dashboard / portal</t>
        </is>
      </c>
      <c r="C10" s="55" t="inlineStr">
        <is>
          <t>250,000 - 900,000+</t>
        </is>
      </c>
      <c r="D10" s="55" t="inlineStr">
        <is>
          <t>6 - 16 weeks</t>
        </is>
      </c>
    </row>
    <row r="11">
      <c r="B11" s="55" t="inlineStr">
        <is>
          <t>Mobile app (Android + iOS)</t>
        </is>
      </c>
      <c r="C11" s="55" t="inlineStr">
        <is>
          <t>400,000 - 1,500,000+</t>
        </is>
      </c>
      <c r="D11" s="55" t="inlineStr">
        <is>
          <t>8 - 20 weeks</t>
        </is>
      </c>
    </row>
    <row r="12">
      <c r="B12" s="55" t="inlineStr">
        <is>
          <t>UI / UX design package</t>
        </is>
      </c>
      <c r="C12" s="55" t="inlineStr">
        <is>
          <t>40,000 - 150,000</t>
        </is>
      </c>
      <c r="D12" s="55" t="inlineStr">
        <is>
          <t>2 - 4 weeks</t>
        </is>
      </c>
    </row>
    <row r="13">
      <c r="B13" s="55" t="inlineStr">
        <is>
          <t>Branding, logo and identity</t>
        </is>
      </c>
      <c r="C13" s="55" t="inlineStr">
        <is>
          <t>20,000 - 80,000</t>
        </is>
      </c>
      <c r="D13" s="55" t="inlineStr">
        <is>
          <t>1 - 3 weeks</t>
        </is>
      </c>
    </row>
    <row r="14">
      <c r="B14" s="55" t="inlineStr">
        <is>
          <t>SEO / digital marketing retainer</t>
        </is>
      </c>
      <c r="C14" s="55" t="inlineStr">
        <is>
          <t>30,000 - 100,000 / month</t>
        </is>
      </c>
      <c r="D14" s="55" t="inlineStr">
        <is>
          <t>Ongoing</t>
        </is>
      </c>
    </row>
    <row r="15">
      <c r="B15" s="55" t="inlineStr">
        <is>
          <t>Website maintenance and support retainer</t>
        </is>
      </c>
      <c r="C15" s="55" t="inlineStr">
        <is>
          <t>10,000 - 40,000 / month</t>
        </is>
      </c>
      <c r="D15" s="55" t="inlineStr">
        <is>
          <t>Ongoing</t>
        </is>
      </c>
    </row>
    <row r="16">
      <c r="B16" s="55" t="inlineStr">
        <is>
          <t>AI automation, chatbot, CRM integration</t>
        </is>
      </c>
      <c r="C16" s="55" t="inlineStr">
        <is>
          <t>80,000 - 300,000</t>
        </is>
      </c>
      <c r="D16" s="55" t="inlineStr">
        <is>
          <t>3 - 8 weeks</t>
        </is>
      </c>
    </row>
    <row r="19" ht="24" customHeight="1">
      <c r="A19" s="3" t="inlineStr">
        <is>
          <t>DEDUCTIBLE  (reduces the profit pool — receipts required)</t>
        </is>
      </c>
      <c r="B19" s="4" t="n"/>
      <c r="C19" s="4" t="n"/>
      <c r="D19" s="4" t="n"/>
      <c r="E19" s="4" t="n"/>
    </row>
    <row r="20">
      <c r="B20" s="28" t="inlineStr">
        <is>
          <t>Domain, hosting, SSL and cloud infrastructure for the project</t>
        </is>
      </c>
    </row>
    <row r="21">
      <c r="B21" s="28" t="inlineStr">
        <is>
          <t>Premium themes, plugins, licences and fonts bought for the client</t>
        </is>
      </c>
    </row>
    <row r="22">
      <c r="B22" s="28" t="inlineStr">
        <is>
          <t>Stock images, video and design assets licensed for the project</t>
        </is>
      </c>
    </row>
    <row r="23">
      <c r="B23" s="28" t="inlineStr">
        <is>
          <t>Paid APIs, integrations, SMS, gateway setup and AI credits used</t>
        </is>
      </c>
    </row>
    <row r="24">
      <c r="B24" s="28" t="inlineStr">
        <is>
          <t>Subcontracted or outsourced delivery (freelancers, designers, QA)</t>
        </is>
      </c>
    </row>
    <row r="25">
      <c r="B25" s="28" t="inlineStr">
        <is>
          <t>Payment gateway, bank and transfer fees on the client's money</t>
        </is>
      </c>
    </row>
    <row r="26">
      <c r="B26" s="28" t="inlineStr">
        <is>
          <t>Client-specific ad spend not reimbursed by the client</t>
        </is>
      </c>
    </row>
    <row r="27">
      <c r="B27" s="28" t="inlineStr">
        <is>
          <t>Hardware, printing, courier and physical project costs</t>
        </is>
      </c>
    </row>
    <row r="28">
      <c r="B28" s="28" t="inlineStr">
        <is>
          <t>Taxes or levies arising solely from the project (not income tax)</t>
        </is>
      </c>
    </row>
    <row r="31" ht="24" customHeight="1">
      <c r="A31" s="3" t="inlineStr">
        <is>
          <t>NEVER DEDUCTIBLE  (Devzard absorbs these inside its 70%)</t>
        </is>
      </c>
      <c r="B31" s="4" t="n"/>
      <c r="C31" s="4" t="n"/>
      <c r="D31" s="4" t="n"/>
      <c r="E31" s="4" t="n"/>
    </row>
    <row r="32">
      <c r="B32" s="28" t="inlineStr">
        <is>
          <t>Devzard salaries and core team time</t>
        </is>
      </c>
    </row>
    <row r="33">
      <c r="B33" s="28" t="inlineStr">
        <is>
          <t>Office rent, utilities and internet</t>
        </is>
      </c>
    </row>
    <row r="34">
      <c r="B34" s="28" t="inlineStr">
        <is>
          <t>Internal software subscriptions and tools</t>
        </is>
      </c>
    </row>
    <row r="35">
      <c r="B35" s="28" t="inlineStr">
        <is>
          <t>General marketing and advertising of Devzard</t>
        </is>
      </c>
    </row>
    <row r="36">
      <c r="B36" s="28" t="inlineStr">
        <is>
          <t>Rework caused by Devzard's own errors or omissions</t>
        </is>
      </c>
    </row>
    <row r="37">
      <c r="B37" s="28" t="inlineStr">
        <is>
          <t>Penalties paid because Devzard delivered late (added back before the split)</t>
        </is>
      </c>
    </row>
    <row r="38">
      <c r="B38" s="28" t="inlineStr">
        <is>
          <t>Anything not agreed in advance above the PKR 25,000 approval threshold</t>
        </is>
      </c>
    </row>
    <row r="41" ht="24" customHeight="1">
      <c r="A41" s="3" t="inlineStr">
        <is>
          <t>THE FOUR EXPENSE RULES</t>
        </is>
      </c>
      <c r="B41" s="4" t="n"/>
      <c r="C41" s="4" t="n"/>
      <c r="D41" s="4" t="n"/>
      <c r="E41" s="4" t="n"/>
    </row>
    <row r="42" ht="28" customHeight="1">
      <c r="B42" s="11" t="inlineStr">
        <is>
          <t>Rule 1 - Project-specific</t>
        </is>
      </c>
      <c r="C42" s="12" t="inlineStr">
        <is>
          <t>If the cost would exist without this project, it is not deducted.</t>
        </is>
      </c>
      <c r="D42" s="56" t="n"/>
      <c r="E42" s="57" t="n"/>
    </row>
    <row r="43" ht="28" customHeight="1">
      <c r="B43" s="11" t="inlineStr">
        <is>
          <t>Rule 2 - Documented</t>
        </is>
      </c>
      <c r="C43" s="12" t="inlineStr">
        <is>
          <t>No receipt, no deduction. Partners may ask to see receipts for any project.</t>
        </is>
      </c>
      <c r="D43" s="56" t="n"/>
      <c r="E43" s="57" t="n"/>
    </row>
    <row r="44" ht="28" customHeight="1">
      <c r="B44" s="11" t="inlineStr">
        <is>
          <t>Rule 3 - The Big Expense Rule</t>
        </is>
      </c>
      <c r="C44" s="12" t="inlineStr">
        <is>
          <t>Any single expense above PKR 25,000, or anything that changes the client price, needs the partner's written approval first.</t>
        </is>
      </c>
      <c r="D44" s="56" t="n"/>
      <c r="E44" s="57" t="n"/>
    </row>
    <row r="45" ht="28" customHeight="1">
      <c r="B45" s="11" t="inlineStr">
        <is>
          <t>Rule 4 - Shared costs</t>
        </is>
      </c>
      <c r="C45" s="12" t="inlineStr">
        <is>
          <t>Costs shared across clients are apportioned fairly and shown on the statement.</t>
        </is>
      </c>
      <c r="D45" s="56" t="n"/>
      <c r="E45" s="57" t="n"/>
    </row>
    <row r="48" ht="24" customHeight="1">
      <c r="A48" s="3" t="inlineStr">
        <is>
          <t>WHEN YOU GET PAID</t>
        </is>
      </c>
      <c r="B48" s="4" t="n"/>
      <c r="C48" s="4" t="n"/>
      <c r="D48" s="4" t="n"/>
      <c r="E48" s="4" t="n"/>
    </row>
    <row r="49" ht="26" customHeight="1">
      <c r="B49" s="11" t="inlineStr">
        <is>
          <t>Trigger</t>
        </is>
      </c>
      <c r="C49" s="12" t="inlineStr">
        <is>
          <t>Client payment received and cleared, AND the related milestone delivered</t>
        </is>
      </c>
      <c r="D49" s="56" t="n"/>
      <c r="E49" s="57" t="n"/>
    </row>
    <row r="50" ht="26" customHeight="1">
      <c r="B50" s="11" t="inlineStr">
        <is>
          <t>Window</t>
        </is>
      </c>
      <c r="C50" s="12" t="inlineStr">
        <is>
          <t>Within 7 business days of both</t>
        </is>
      </c>
      <c r="D50" s="56" t="n"/>
      <c r="E50" s="57" t="n"/>
    </row>
    <row r="51" ht="26" customHeight="1">
      <c r="B51" s="11" t="inlineStr">
        <is>
          <t>Multi-milestone</t>
        </is>
      </c>
      <c r="C51" s="12" t="inlineStr">
        <is>
          <t>Paid milestone by milestone</t>
        </is>
      </c>
      <c r="D51" s="56" t="n"/>
      <c r="E51" s="57" t="n"/>
    </row>
    <row r="52" ht="26" customHeight="1">
      <c r="B52" s="11" t="inlineStr">
        <is>
          <t>Recurring / retainers</t>
        </is>
      </c>
      <c r="C52" s="12" t="inlineStr">
        <is>
          <t>30% of net profit every billing cycle while the partnership is active</t>
        </is>
      </c>
      <c r="D52" s="56" t="n"/>
      <c r="E52" s="57" t="n"/>
    </row>
    <row r="53" ht="26" customHeight="1">
      <c r="B53" s="11" t="inlineStr">
        <is>
          <t>Minimum payout</t>
        </is>
      </c>
      <c r="C53" s="12" t="inlineStr">
        <is>
          <t>PKR 5,000 — smaller balances carry forward</t>
        </is>
      </c>
      <c r="D53" s="56" t="n"/>
      <c r="E53" s="57" t="n"/>
    </row>
    <row r="54" ht="26" customHeight="1">
      <c r="B54" s="11" t="inlineStr">
        <is>
          <t>Statement</t>
        </is>
      </c>
      <c r="C54" s="12" t="inlineStr">
        <is>
          <t>Written statement with every payment, showing revenue, expenses and net profit</t>
        </is>
      </c>
      <c r="D54" s="56" t="n"/>
      <c r="E54" s="57" t="n"/>
    </row>
    <row r="55" ht="26" customHeight="1">
      <c r="B55" s="11" t="inlineStr">
        <is>
          <t>Query window</t>
        </is>
      </c>
      <c r="C55" s="12" t="inlineStr">
        <is>
          <t>15 days from receiving a statement</t>
        </is>
      </c>
      <c r="D55" s="56" t="n"/>
      <c r="E55" s="57" t="n"/>
    </row>
    <row r="56" ht="26" customHeight="1">
      <c r="B56" s="11" t="inlineStr">
        <is>
          <t>Refunds and bad debt</t>
        </is>
      </c>
      <c r="C56" s="12" t="inlineStr">
        <is>
          <t>Commission already paid on an amount later refunded or written off is set off against future commission</t>
        </is>
      </c>
      <c r="D56" s="56" t="n"/>
      <c r="E56" s="57" t="n"/>
    </row>
    <row r="57" ht="26" customHeight="1">
      <c r="B57" s="11" t="inlineStr">
        <is>
          <t>Loss-making project</t>
        </is>
      </c>
      <c r="C57" s="12" t="inlineStr">
        <is>
          <t>No commission, and nothing is charged to the partner</t>
        </is>
      </c>
      <c r="D57" s="56" t="n"/>
      <c r="E57" s="57" t="n"/>
    </row>
  </sheetData>
  <mergeCells count="20">
    <mergeCell ref="C54:E54"/>
    <mergeCell ref="C50:E50"/>
    <mergeCell ref="C44:E44"/>
    <mergeCell ref="A48:E48"/>
    <mergeCell ref="C55:E55"/>
    <mergeCell ref="A1:E1"/>
    <mergeCell ref="C56:E56"/>
    <mergeCell ref="C43:E43"/>
    <mergeCell ref="C51:E51"/>
    <mergeCell ref="C52:E52"/>
    <mergeCell ref="A41:E41"/>
    <mergeCell ref="C57:E57"/>
    <mergeCell ref="A2:E2"/>
    <mergeCell ref="C53:E53"/>
    <mergeCell ref="C49:E49"/>
    <mergeCell ref="C42:E42"/>
    <mergeCell ref="A4:E4"/>
    <mergeCell ref="C45:E45"/>
    <mergeCell ref="A19:E19"/>
    <mergeCell ref="A31:E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2026-10-13T19:10:29Z</dcterms:created>
  <dcterms:modified xmlns:dcterms="http://purl.org/dc/terms/" xmlns:xsi="http://www.w3.org/2001/XMLSchema-instance" xsi:type="dcterms:W3CDTF">2026-10-13T19:10:29Z</dcterms:modified>
</cp:coreProperties>
</file>